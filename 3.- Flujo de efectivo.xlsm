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nava\Documents\GitHub\Software_Actuarial_I\"/>
    </mc:Choice>
  </mc:AlternateContent>
  <bookViews>
    <workbookView xWindow="0" yWindow="0" windowWidth="20400" windowHeight="7755"/>
  </bookViews>
  <sheets>
    <sheet name="Hoja83" sheetId="106" r:id="rId1"/>
    <sheet name="Hoja82" sheetId="105" r:id="rId2"/>
    <sheet name="Hoja81" sheetId="104" r:id="rId3"/>
    <sheet name="Ejemplo" sheetId="1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  <c r="C18" i="1"/>
  <c r="C19" i="1"/>
  <c r="C20" i="1"/>
  <c r="C17" i="1"/>
  <c r="C10" i="1"/>
  <c r="B13" i="1"/>
  <c r="B11" i="1"/>
  <c r="C11" i="1"/>
  <c r="D11" i="1" l="1"/>
  <c r="E11" i="1"/>
  <c r="F11" i="1"/>
  <c r="G11" i="1"/>
  <c r="H11" i="1"/>
  <c r="I11" i="1"/>
  <c r="J11" i="1"/>
  <c r="K11" i="1"/>
  <c r="K10" i="1"/>
  <c r="D10" i="1"/>
  <c r="E10" i="1"/>
  <c r="F10" i="1" s="1"/>
  <c r="G10" i="1" s="1"/>
  <c r="H10" i="1" s="1"/>
  <c r="I10" i="1" s="1"/>
  <c r="J10" i="1" s="1"/>
</calcChain>
</file>

<file path=xl/sharedStrings.xml><?xml version="1.0" encoding="utf-8"?>
<sst xmlns="http://schemas.openxmlformats.org/spreadsheetml/2006/main" count="54" uniqueCount="19">
  <si>
    <t>Datos de entrada</t>
  </si>
  <si>
    <t>4. Número de años de los flujos de entrada</t>
  </si>
  <si>
    <t>2.Flujo de entrada al final del año 1</t>
  </si>
  <si>
    <t>3.Tasa de incremento del flujo de entrada al año</t>
  </si>
  <si>
    <t>5. Tasa de descuento</t>
  </si>
  <si>
    <t>Cálculo del valor presente neto de una serie de flujos</t>
  </si>
  <si>
    <t>1.Flujo de salida al inicio del año 1 (Inv. Inicial)</t>
  </si>
  <si>
    <t>Año</t>
  </si>
  <si>
    <t>Modelo de flujos</t>
  </si>
  <si>
    <t>Flujo de efectivo</t>
  </si>
  <si>
    <t>(Interés simple)</t>
  </si>
  <si>
    <t>Factor de descuento</t>
  </si>
  <si>
    <t>Valor presente neto</t>
  </si>
  <si>
    <t>1.Flujo de salida al inicio del año 1 (Inv.Inicial)</t>
  </si>
  <si>
    <t>2. Flujo de entrada al final del año 1</t>
  </si>
  <si>
    <t>3. Tasa de incremento del flujo de entrada al año</t>
  </si>
  <si>
    <t>Tasa</t>
  </si>
  <si>
    <t>VPN</t>
  </si>
  <si>
    <t>TASA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</si>
</sst>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3" fontId="0" fillId="2" borderId="0" xfId="0" applyNumberFormat="1" applyFill="1"/>
    <xf numFmtId="9" fontId="0" fillId="2" borderId="0" xfId="0" applyNumberFormat="1" applyFill="1"/>
    <xf numFmtId="0" fontId="0" fillId="2" borderId="0" xfId="0" applyFill="1"/>
    <xf numFmtId="44" fontId="0" fillId="0" borderId="0" xfId="1" applyFont="1"/>
    <xf numFmtId="44" fontId="0" fillId="0" borderId="0" xfId="0" applyNumberFormat="1"/>
    <xf numFmtId="0" fontId="2" fillId="0" borderId="0" xfId="0" applyFont="1"/>
    <xf numFmtId="44" fontId="0" fillId="2" borderId="0" xfId="1" applyFont="1" applyFill="1"/>
    <xf numFmtId="9" fontId="0" fillId="2" borderId="0" xfId="2" applyFont="1" applyFill="1"/>
    <xf numFmtId="9" fontId="0" fillId="0" borderId="0" xfId="2" applyFont="1"/>
    <xf numFmtId="0" fontId="0" fillId="0" borderId="0" xfId="2" applyNumberFormat="1" applyFont="1"/>
    <xf numFmtId="9" fontId="0" fillId="0" borderId="0" xfId="0" applyNumberFormat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4"/>
  <dimension ref="A1:K20"/>
  <sheetViews>
    <sheetView tabSelected="1" workbookViewId="0">
      <selection activeCell="B22" sqref="B22:K24"/>
    </sheetView>
  </sheetViews>
  <sheetFormatPr baseColWidth="10" defaultRowHeight="15" x14ac:dyDescent="0.25"/>
  <cols>
    <col min="1" max="1" width="44.7109375" bestFit="1" customWidth="1"/>
    <col min="3" max="3" width="12.5703125" bestFit="1" customWidth="1"/>
  </cols>
  <sheetData>
    <row r="1" spans="1:11" x14ac:dyDescent="0.25">
      <c r="A1" s="6" t="s">
        <v>0</v>
      </c>
    </row>
    <row r="2" spans="1:11" x14ac:dyDescent="0.25">
      <c r="A2" t="s">
        <v>13</v>
      </c>
      <c r="B2" s="7">
        <v>40000</v>
      </c>
    </row>
    <row r="3" spans="1:11" x14ac:dyDescent="0.25">
      <c r="A3" t="s">
        <v>14</v>
      </c>
      <c r="B3" s="7">
        <v>12000</v>
      </c>
    </row>
    <row r="4" spans="1:11" x14ac:dyDescent="0.25">
      <c r="A4" t="s">
        <v>15</v>
      </c>
      <c r="B4" s="8">
        <v>0.11999999731779099</v>
      </c>
    </row>
    <row r="5" spans="1:11" x14ac:dyDescent="0.25">
      <c r="A5" t="s">
        <v>1</v>
      </c>
      <c r="B5" s="3">
        <v>10</v>
      </c>
    </row>
    <row r="6" spans="1:11" x14ac:dyDescent="0.25">
      <c r="A6" t="s">
        <v>4</v>
      </c>
      <c r="B6" s="8">
        <v>0.15999999642372131</v>
      </c>
    </row>
    <row r="8" spans="1:11" x14ac:dyDescent="0.25">
      <c r="A8" s="6" t="s">
        <v>8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4">
        <v>12000</v>
      </c>
      <c r="C10" s="4">
        <v>13440.000057220459</v>
      </c>
      <c r="D10" s="4">
        <v>15052.800128173829</v>
      </c>
      <c r="E10" s="4">
        <v>16859.136215332033</v>
      </c>
      <c r="F10" s="4">
        <v>18882.232641562499</v>
      </c>
      <c r="G10" s="4">
        <v>21148.100648587504</v>
      </c>
      <c r="H10" s="4">
        <v>23685.872827260006</v>
      </c>
      <c r="I10" s="4">
        <v>26528.177679474251</v>
      </c>
      <c r="J10" s="4">
        <v>29711.559127507371</v>
      </c>
      <c r="K10" s="4">
        <v>33276.946364484007</v>
      </c>
    </row>
    <row r="11" spans="1:11" x14ac:dyDescent="0.25">
      <c r="A11" t="s">
        <v>11</v>
      </c>
      <c r="B11" s="9">
        <v>0.86206901073455811</v>
      </c>
      <c r="C11" s="9">
        <v>0.75757580995559692</v>
      </c>
      <c r="D11" s="9">
        <v>0.67567569017410278</v>
      </c>
      <c r="E11" s="9">
        <v>0.60975611209869385</v>
      </c>
      <c r="F11" s="9">
        <v>0.55555558204650879</v>
      </c>
      <c r="G11" s="9">
        <v>0.51020407676696777</v>
      </c>
      <c r="H11" s="9">
        <v>0.47169813513755798</v>
      </c>
      <c r="I11" s="9">
        <v>0.43859648704528809</v>
      </c>
      <c r="J11" s="9">
        <v>0.4098360538482666</v>
      </c>
      <c r="K11" s="9">
        <v>0.38461539149284363</v>
      </c>
    </row>
    <row r="13" spans="1:11" x14ac:dyDescent="0.25">
      <c r="A13" s="6" t="s">
        <v>12</v>
      </c>
      <c r="B13" s="4">
        <v>70040.837917748897</v>
      </c>
    </row>
    <row r="15" spans="1:11" x14ac:dyDescent="0.25">
      <c r="B15" s="6" t="s">
        <v>16</v>
      </c>
      <c r="C15" s="6" t="s">
        <v>17</v>
      </c>
    </row>
    <row r="16" spans="1:11" x14ac:dyDescent="0.25">
      <c r="B16" s="9">
        <v>0.02</v>
      </c>
      <c r="C16" s="4">
        <v>147103.02391846493</v>
      </c>
    </row>
    <row r="17" spans="2:3" x14ac:dyDescent="0.25">
      <c r="B17" s="9">
        <v>0.03</v>
      </c>
      <c r="C17" s="4">
        <v>137495.26394972438</v>
      </c>
    </row>
    <row r="18" spans="2:3" x14ac:dyDescent="0.25">
      <c r="B18" s="9">
        <v>0.04</v>
      </c>
      <c r="C18" s="4">
        <v>128964.43251756695</v>
      </c>
    </row>
    <row r="19" spans="2:3" x14ac:dyDescent="0.25">
      <c r="B19" s="9">
        <v>0.05</v>
      </c>
      <c r="C19" s="4">
        <v>121328.13140500811</v>
      </c>
    </row>
    <row r="20" spans="2:3" x14ac:dyDescent="0.25">
      <c r="B20" s="9">
        <v>0.06</v>
      </c>
      <c r="C20" s="4">
        <v>114444.25918553777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3"/>
  <dimension ref="A1:K24"/>
  <sheetViews>
    <sheetView workbookViewId="0"/>
  </sheetViews>
  <sheetFormatPr baseColWidth="10" defaultRowHeight="15" x14ac:dyDescent="0.25"/>
  <cols>
    <col min="1" max="1" width="44.7109375" bestFit="1" customWidth="1"/>
  </cols>
  <sheetData>
    <row r="1" spans="1:11" x14ac:dyDescent="0.25">
      <c r="A1" s="6" t="s">
        <v>0</v>
      </c>
    </row>
    <row r="2" spans="1:11" x14ac:dyDescent="0.25">
      <c r="A2" t="s">
        <v>13</v>
      </c>
      <c r="B2" s="7">
        <v>40000</v>
      </c>
    </row>
    <row r="3" spans="1:11" x14ac:dyDescent="0.25">
      <c r="A3" t="s">
        <v>14</v>
      </c>
      <c r="B3" s="7">
        <v>12000</v>
      </c>
    </row>
    <row r="4" spans="1:11" x14ac:dyDescent="0.25">
      <c r="A4" t="s">
        <v>15</v>
      </c>
      <c r="B4" s="8">
        <v>0.11999999731779099</v>
      </c>
    </row>
    <row r="5" spans="1:11" x14ac:dyDescent="0.25">
      <c r="A5" t="s">
        <v>1</v>
      </c>
      <c r="B5" s="3">
        <v>10</v>
      </c>
    </row>
    <row r="6" spans="1:11" x14ac:dyDescent="0.25">
      <c r="A6" t="s">
        <v>4</v>
      </c>
      <c r="B6" s="8">
        <v>0.15999999642372131</v>
      </c>
    </row>
    <row r="8" spans="1:11" x14ac:dyDescent="0.25">
      <c r="A8" s="6" t="s">
        <v>8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4">
        <v>12000</v>
      </c>
      <c r="C10" s="4">
        <v>13440.000057220459</v>
      </c>
      <c r="D10" s="4">
        <v>15052.800128173829</v>
      </c>
      <c r="E10" s="4">
        <v>16859.136215332033</v>
      </c>
      <c r="F10" s="4">
        <v>18882.232641562499</v>
      </c>
      <c r="G10" s="4">
        <v>21148.100648587504</v>
      </c>
      <c r="H10" s="4">
        <v>23685.872827260006</v>
      </c>
      <c r="I10" s="4">
        <v>26528.177679474251</v>
      </c>
      <c r="J10" s="4">
        <v>29711.559127507371</v>
      </c>
      <c r="K10" s="4">
        <v>33276.946364484007</v>
      </c>
    </row>
    <row r="11" spans="1:11" x14ac:dyDescent="0.25">
      <c r="A11" t="s">
        <v>11</v>
      </c>
      <c r="B11" s="9">
        <v>0.86206901073455811</v>
      </c>
      <c r="C11" s="9">
        <v>0.75757580995559692</v>
      </c>
      <c r="D11" s="9">
        <v>0.67567569017410278</v>
      </c>
      <c r="E11" s="9">
        <v>0.60975611209869385</v>
      </c>
      <c r="F11" s="9">
        <v>0.55555558204650879</v>
      </c>
      <c r="G11" s="9">
        <v>0.51020407676696777</v>
      </c>
      <c r="H11" s="9">
        <v>0.47169813513755798</v>
      </c>
      <c r="I11" s="9">
        <v>0.43859648704528809</v>
      </c>
      <c r="J11" s="9">
        <v>0.4098360538482666</v>
      </c>
      <c r="K11" s="9">
        <v>0.38461539149284363</v>
      </c>
    </row>
    <row r="13" spans="1:11" x14ac:dyDescent="0.25">
      <c r="A13" s="6" t="s">
        <v>12</v>
      </c>
      <c r="B13" s="4">
        <v>70040.837917748897</v>
      </c>
    </row>
    <row r="15" spans="1:11" x14ac:dyDescent="0.25">
      <c r="B15" s="6" t="s">
        <v>16</v>
      </c>
      <c r="C15" s="6" t="s">
        <v>17</v>
      </c>
    </row>
    <row r="16" spans="1:11" x14ac:dyDescent="0.25">
      <c r="B16" s="9">
        <v>0.02</v>
      </c>
      <c r="C16">
        <v>147103.02391846493</v>
      </c>
    </row>
    <row r="17" spans="2:11" x14ac:dyDescent="0.25">
      <c r="B17" s="9">
        <v>0.03</v>
      </c>
      <c r="C17">
        <v>137495.26394972438</v>
      </c>
    </row>
    <row r="18" spans="2:11" x14ac:dyDescent="0.25">
      <c r="B18" s="9">
        <v>0.04</v>
      </c>
      <c r="C18">
        <v>128964.43251756695</v>
      </c>
    </row>
    <row r="19" spans="2:11" x14ac:dyDescent="0.25">
      <c r="B19" s="9">
        <v>0.05</v>
      </c>
      <c r="C19">
        <v>121328.13140500811</v>
      </c>
    </row>
    <row r="20" spans="2:11" x14ac:dyDescent="0.25">
      <c r="B20" s="9">
        <v>0.06</v>
      </c>
      <c r="C20">
        <v>114444.25918553777</v>
      </c>
    </row>
    <row r="22" spans="2:11" x14ac:dyDescent="0.25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</row>
    <row r="23" spans="2:11" x14ac:dyDescent="0.25">
      <c r="B23">
        <v>12000</v>
      </c>
      <c r="C23">
        <v>13440.000057220459</v>
      </c>
      <c r="D23">
        <v>15052.800128173829</v>
      </c>
      <c r="E23">
        <v>16859.136215332033</v>
      </c>
      <c r="F23">
        <v>18882.232641562499</v>
      </c>
      <c r="G23">
        <v>21148.100648587504</v>
      </c>
      <c r="H23">
        <v>23685.872827260006</v>
      </c>
      <c r="I23">
        <v>26528.177679474251</v>
      </c>
      <c r="J23">
        <v>29711.559127507371</v>
      </c>
      <c r="K23">
        <v>33276.946364484007</v>
      </c>
    </row>
    <row r="24" spans="2:11" x14ac:dyDescent="0.25">
      <c r="B24">
        <v>0.94339622641509424</v>
      </c>
      <c r="C24">
        <v>0.89285714285714279</v>
      </c>
      <c r="D24">
        <v>0.84745762711864414</v>
      </c>
      <c r="E24">
        <v>0.80645161290322587</v>
      </c>
      <c r="F24">
        <v>0.76923076923076916</v>
      </c>
      <c r="G24">
        <v>0.73529411764705888</v>
      </c>
      <c r="H24">
        <v>0.70422535211267612</v>
      </c>
      <c r="I24">
        <v>0.67567567567567566</v>
      </c>
      <c r="J24">
        <v>0.64935064935064934</v>
      </c>
      <c r="K24">
        <v>0.625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/>
  <dimension ref="A1:K20"/>
  <sheetViews>
    <sheetView workbookViewId="0">
      <selection activeCell="B22" sqref="B22:K24"/>
    </sheetView>
  </sheetViews>
  <sheetFormatPr baseColWidth="10" defaultRowHeight="15" x14ac:dyDescent="0.25"/>
  <cols>
    <col min="1" max="1" width="44.7109375" bestFit="1" customWidth="1"/>
    <col min="3" max="3" width="12.5703125" bestFit="1" customWidth="1"/>
  </cols>
  <sheetData>
    <row r="1" spans="1:11" x14ac:dyDescent="0.25">
      <c r="A1" s="6" t="s">
        <v>0</v>
      </c>
    </row>
    <row r="2" spans="1:11" x14ac:dyDescent="0.25">
      <c r="A2" t="s">
        <v>13</v>
      </c>
      <c r="B2" s="7">
        <v>40000</v>
      </c>
    </row>
    <row r="3" spans="1:11" x14ac:dyDescent="0.25">
      <c r="A3" t="s">
        <v>14</v>
      </c>
      <c r="B3" s="7">
        <v>12000</v>
      </c>
    </row>
    <row r="4" spans="1:11" x14ac:dyDescent="0.25">
      <c r="A4" t="s">
        <v>15</v>
      </c>
      <c r="B4" s="8">
        <v>0.11999999731779099</v>
      </c>
    </row>
    <row r="5" spans="1:11" x14ac:dyDescent="0.25">
      <c r="A5" t="s">
        <v>1</v>
      </c>
      <c r="B5" s="3">
        <v>10</v>
      </c>
    </row>
    <row r="6" spans="1:11" x14ac:dyDescent="0.25">
      <c r="A6" t="s">
        <v>4</v>
      </c>
      <c r="B6" s="8">
        <v>0.15999999642372131</v>
      </c>
    </row>
    <row r="8" spans="1:11" x14ac:dyDescent="0.25">
      <c r="A8" s="6" t="s">
        <v>8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4">
        <v>12000</v>
      </c>
      <c r="C10" s="4">
        <v>13440.000057220459</v>
      </c>
      <c r="D10" s="4">
        <v>15052.800128173829</v>
      </c>
      <c r="E10" s="4">
        <v>16859.136215332033</v>
      </c>
      <c r="F10" s="4">
        <v>18882.232641562499</v>
      </c>
      <c r="G10" s="4">
        <v>21148.100648587504</v>
      </c>
      <c r="H10" s="4">
        <v>23685.872827260006</v>
      </c>
      <c r="I10" s="4">
        <v>26528.177679474251</v>
      </c>
      <c r="J10" s="4">
        <v>29711.559127507371</v>
      </c>
      <c r="K10" s="4">
        <v>33276.946364484007</v>
      </c>
    </row>
    <row r="11" spans="1:11" x14ac:dyDescent="0.25">
      <c r="A11" t="s">
        <v>11</v>
      </c>
      <c r="B11" s="9">
        <v>0.86206901073455811</v>
      </c>
      <c r="C11" s="9">
        <v>0.75757580995559692</v>
      </c>
      <c r="D11" s="9">
        <v>0.67567569017410278</v>
      </c>
      <c r="E11" s="9">
        <v>0.60975611209869385</v>
      </c>
      <c r="F11" s="9">
        <v>0.55555558204650879</v>
      </c>
      <c r="G11" s="9">
        <v>0.51020407676696777</v>
      </c>
      <c r="H11" s="9">
        <v>0.47169813513755798</v>
      </c>
      <c r="I11" s="9">
        <v>0.43859648704528809</v>
      </c>
      <c r="J11" s="9">
        <v>0.4098360538482666</v>
      </c>
      <c r="K11" s="9">
        <v>0.38461539149284363</v>
      </c>
    </row>
    <row r="13" spans="1:11" x14ac:dyDescent="0.25">
      <c r="A13" s="6" t="s">
        <v>12</v>
      </c>
      <c r="B13" s="4">
        <v>70040.837917748897</v>
      </c>
    </row>
    <row r="15" spans="1:11" x14ac:dyDescent="0.25">
      <c r="B15" s="6" t="s">
        <v>16</v>
      </c>
      <c r="C15" s="6" t="s">
        <v>17</v>
      </c>
    </row>
    <row r="16" spans="1:11" x14ac:dyDescent="0.25">
      <c r="B16" s="9">
        <v>0.02</v>
      </c>
      <c r="C16" s="4">
        <v>147103.02391846493</v>
      </c>
    </row>
    <row r="17" spans="2:3" x14ac:dyDescent="0.25">
      <c r="B17" s="9">
        <v>0.03</v>
      </c>
      <c r="C17" s="4">
        <v>137495.26394972438</v>
      </c>
    </row>
    <row r="18" spans="2:3" x14ac:dyDescent="0.25">
      <c r="B18" s="9">
        <v>0.04</v>
      </c>
      <c r="C18" s="4">
        <v>128964.43251756695</v>
      </c>
    </row>
    <row r="19" spans="2:3" x14ac:dyDescent="0.25">
      <c r="B19" s="9">
        <v>0.05</v>
      </c>
      <c r="C19" s="4">
        <v>121328.13140500811</v>
      </c>
    </row>
    <row r="20" spans="2:3" x14ac:dyDescent="0.25">
      <c r="B20" s="9">
        <v>0.06</v>
      </c>
      <c r="C20" s="4">
        <v>114444.25918553777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20"/>
  <sheetViews>
    <sheetView workbookViewId="0">
      <selection activeCell="C16" sqref="C16"/>
    </sheetView>
  </sheetViews>
  <sheetFormatPr baseColWidth="10" defaultRowHeight="15" x14ac:dyDescent="0.25"/>
  <cols>
    <col min="1" max="1" width="43.7109375" customWidth="1"/>
    <col min="3" max="3" width="13.5703125" customWidth="1"/>
    <col min="4" max="4" width="13.85546875" customWidth="1"/>
  </cols>
  <sheetData>
    <row r="1" spans="1:11" x14ac:dyDescent="0.25">
      <c r="A1" s="6" t="s">
        <v>0</v>
      </c>
      <c r="D1" t="s">
        <v>5</v>
      </c>
    </row>
    <row r="2" spans="1:11" x14ac:dyDescent="0.25">
      <c r="A2" t="s">
        <v>6</v>
      </c>
      <c r="B2" s="1">
        <v>40000</v>
      </c>
    </row>
    <row r="3" spans="1:11" x14ac:dyDescent="0.25">
      <c r="A3" t="s">
        <v>2</v>
      </c>
      <c r="B3" s="1">
        <v>12000</v>
      </c>
    </row>
    <row r="4" spans="1:11" x14ac:dyDescent="0.25">
      <c r="A4" t="s">
        <v>3</v>
      </c>
      <c r="B4" s="2">
        <v>0.12</v>
      </c>
    </row>
    <row r="5" spans="1:11" x14ac:dyDescent="0.25">
      <c r="A5" t="s">
        <v>1</v>
      </c>
      <c r="B5" s="3">
        <v>10</v>
      </c>
    </row>
    <row r="6" spans="1:11" x14ac:dyDescent="0.25">
      <c r="A6" t="s">
        <v>4</v>
      </c>
      <c r="B6" s="2">
        <v>0.16</v>
      </c>
      <c r="C6" t="s">
        <v>10</v>
      </c>
    </row>
    <row r="8" spans="1:11" x14ac:dyDescent="0.25">
      <c r="A8" s="6" t="s">
        <v>8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4">
        <v>12000</v>
      </c>
      <c r="C10" s="4">
        <f>B10*(1+$B$4)</f>
        <v>13440.000000000002</v>
      </c>
      <c r="D10" s="4">
        <f t="shared" ref="D10:J10" si="0">C10*(1+$B$4)</f>
        <v>15052.800000000003</v>
      </c>
      <c r="E10" s="4">
        <f t="shared" si="0"/>
        <v>16859.136000000006</v>
      </c>
      <c r="F10" s="4">
        <f t="shared" si="0"/>
        <v>18882.23232000001</v>
      </c>
      <c r="G10" s="4">
        <f t="shared" si="0"/>
        <v>21148.100198400014</v>
      </c>
      <c r="H10" s="4">
        <f t="shared" si="0"/>
        <v>23685.872222208018</v>
      </c>
      <c r="I10" s="4">
        <f t="shared" si="0"/>
        <v>26528.176888872982</v>
      </c>
      <c r="J10" s="4">
        <f t="shared" si="0"/>
        <v>29711.558115537744</v>
      </c>
      <c r="K10" s="4">
        <f>J10*(1+$B$4)</f>
        <v>33276.945089402274</v>
      </c>
    </row>
    <row r="11" spans="1:11" x14ac:dyDescent="0.25">
      <c r="A11" t="s">
        <v>11</v>
      </c>
      <c r="B11">
        <f>1/(1+B9*$B$6)</f>
        <v>0.86206896551724144</v>
      </c>
      <c r="C11">
        <f>1/(1+C9*$B$6)</f>
        <v>0.75757575757575757</v>
      </c>
      <c r="D11" s="10">
        <f t="shared" ref="D11:K11" si="1">1/(1+D9*$B$6)</f>
        <v>0.67567567567567566</v>
      </c>
      <c r="E11">
        <f t="shared" si="1"/>
        <v>0.6097560975609756</v>
      </c>
      <c r="F11">
        <f t="shared" si="1"/>
        <v>0.55555555555555558</v>
      </c>
      <c r="G11">
        <f t="shared" si="1"/>
        <v>0.51020408163265307</v>
      </c>
      <c r="H11">
        <f t="shared" si="1"/>
        <v>0.47169811320754712</v>
      </c>
      <c r="I11">
        <f t="shared" si="1"/>
        <v>0.43859649122807015</v>
      </c>
      <c r="J11">
        <f t="shared" si="1"/>
        <v>0.4098360655737705</v>
      </c>
      <c r="K11">
        <f t="shared" si="1"/>
        <v>0.38461538461538458</v>
      </c>
    </row>
    <row r="13" spans="1:11" x14ac:dyDescent="0.25">
      <c r="A13" s="6" t="s">
        <v>12</v>
      </c>
      <c r="B13" s="5">
        <f>-B2+B10*B11+C10*C11+D10*D11+E10*E11+F10*F11+G10*G11+H10*H11+I10*I11+J10*J11+K10*K11</f>
        <v>70040.833314664094</v>
      </c>
    </row>
    <row r="15" spans="1:11" x14ac:dyDescent="0.25">
      <c r="B15" t="s">
        <v>18</v>
      </c>
      <c r="C15" t="s">
        <v>17</v>
      </c>
    </row>
    <row r="16" spans="1:11" x14ac:dyDescent="0.25">
      <c r="B16" s="11">
        <v>0.02</v>
      </c>
      <c r="C16" s="4">
        <f>-$B$2+(1/(1+($B$9*B16)))*$B$10+(1/(1+($C$9*B16)))*$C$10+(1/(1+($D$9*B16)))*$D$10+(1/(1+$E$9*B16))*$E$10+(1/(1+$F$9*B16))*$F$10+(1/(1+$G$9*B16))*$G$10+(1/(1+$H$9*B16))*$H$10+(1/(1+$I$9*B16))*$I$10+(1/(1+$J$9*B16))*$J$10+(1/(1+$K$9*B16))*$K$10</f>
        <v>147103.01971639274</v>
      </c>
    </row>
    <row r="17" spans="2:3" x14ac:dyDescent="0.25">
      <c r="B17" s="11">
        <v>0.03</v>
      </c>
      <c r="C17" s="4">
        <f>-$B$2+(1/(1+($B$9*B17)))*$B$10+(1/(1+($C$9*B17)))*$C$10+(1/(1+($D$9*B17)))*$D$10+(1/(1+$E$9*B17))*$E$10+(1/(1+$F$9*B17))*$F$10+(1/(1+$G$9*B17))*$G$10+(1/(1+$H$9*B17))*$H$10+(1/(1+$I$9*B17))*$I$10+(1/(1+$J$9*B17))*$J$10+(1/(1+$K$9*B17))*$K$10</f>
        <v>137495.2600094738</v>
      </c>
    </row>
    <row r="18" spans="2:3" x14ac:dyDescent="0.25">
      <c r="B18" s="11">
        <v>0.04</v>
      </c>
      <c r="C18" s="4">
        <f t="shared" ref="C18:C20" si="2">-$B$2+(1/(1+($B$9*B18)))*$B$10+(1/(1+($C$9*B18)))*$C$10+(1/(1+($D$9*B18)))*$D$10+(1/(1+$E$9*B18))*$E$10+(1/(1+$F$9*B18))*$F$10+(1/(1+$G$9*B18))*$G$10+(1/(1+$H$9*B18))*$H$10+(1/(1+$I$9*B18))*$I$10+(1/(1+$J$9*B18))*$J$10+(1/(1+$K$9*B18))*$K$10</f>
        <v>128964.42880698471</v>
      </c>
    </row>
    <row r="19" spans="2:3" x14ac:dyDescent="0.25">
      <c r="B19" s="11">
        <v>0.05</v>
      </c>
      <c r="C19" s="4">
        <f t="shared" si="2"/>
        <v>121328.12789767617</v>
      </c>
    </row>
    <row r="20" spans="2:3" x14ac:dyDescent="0.25">
      <c r="B20" s="11">
        <v>0.06</v>
      </c>
      <c r="C20" s="4">
        <f t="shared" si="2"/>
        <v>114444.25585946316</v>
      </c>
    </row>
  </sheetData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Hoja83</vt:lpstr>
      <vt:lpstr>Hoja82</vt:lpstr>
      <vt:lpstr>Hoja81</vt:lpstr>
      <vt:lpstr>Ejemplo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valeria garcia</dc:creator>
  <cp:lastModifiedBy>ana valeria garcia</cp:lastModifiedBy>
  <dcterms:created xsi:type="dcterms:W3CDTF">2019-02-14T00:33:01Z</dcterms:created>
  <dcterms:modified xsi:type="dcterms:W3CDTF">2019-03-10T18:20:27Z</dcterms:modified>
</cp:coreProperties>
</file>